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ench" sheetId="3" state="visible" r:id="rId3"/>
    <sheet xmlns:r="http://schemas.openxmlformats.org/officeDocument/2006/relationships" name="Labor and TCO" sheetId="4" state="visible" r:id="rId4"/>
    <sheet xmlns:r="http://schemas.openxmlformats.org/officeDocument/2006/relationships" name="Engineering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Combined scenarios" sheetId="7" state="visible" r:id="rId7"/>
    <sheet xmlns:r="http://schemas.openxmlformats.org/officeDocument/2006/relationships" name="A3 cart" sheetId="8" state="visible" r:id="rId8"/>
    <sheet xmlns:r="http://schemas.openxmlformats.org/officeDocument/2006/relationships" name="Phase 1" sheetId="9" state="visible" r:id="rId9"/>
    <sheet xmlns:r="http://schemas.openxmlformats.org/officeDocument/2006/relationships" name="Ownership" sheetId="10" state="visible" r:id="rId10"/>
  </sheets>
  <definedNames>
    <definedName name="_xlnm._FilterDatabase" localSheetId="0" hidden="1">'Overview'!$A$4:$B$14</definedName>
    <definedName name="_xlnm.Print_Titles" localSheetId="0">'Overview'!$1:$4</definedName>
    <definedName name="_xlnm._FilterDatabase" localSheetId="1" hidden="1">'Assumptions'!$A$4:$C$19</definedName>
    <definedName name="_xlnm.Print_Titles" localSheetId="1">'Assumptions'!$1:$4</definedName>
    <definedName name="_xlnm._FilterDatabase" localSheetId="2" hidden="1">'Bench'!$A$4:$F$9</definedName>
    <definedName name="_xlnm.Print_Titles" localSheetId="2">'Bench'!$1:$4</definedName>
    <definedName name="_xlnm._FilterDatabase" localSheetId="3" hidden="1">'Labor and TCO'!$A$4:$I$9</definedName>
    <definedName name="_xlnm.Print_Titles" localSheetId="3">'Labor and TCO'!$1:$4</definedName>
    <definedName name="_xlnm._FilterDatabase" localSheetId="4" hidden="1">'Engineering'!$A$4:$E$8</definedName>
    <definedName name="_xlnm.Print_Titles" localSheetId="4">'Engineering'!$1:$4</definedName>
    <definedName name="_xlnm._FilterDatabase" localSheetId="5" hidden="1">'Validation'!$A$4:$F$7</definedName>
    <definedName name="_xlnm.Print_Titles" localSheetId="5">'Validation'!$1:$4</definedName>
    <definedName name="_xlnm._FilterDatabase" localSheetId="6" hidden="1">'Combined scenarios'!$A$4:$F$7</definedName>
    <definedName name="_xlnm.Print_Titles" localSheetId="6">'Combined scenarios'!$1:$4</definedName>
    <definedName name="_xlnm._FilterDatabase" localSheetId="7" hidden="1">'A3 cart'!$A$4:$E$16</definedName>
    <definedName name="_xlnm.Print_Titles" localSheetId="7">'A3 cart'!$1:$4</definedName>
    <definedName name="_xlnm._FilterDatabase" localSheetId="8" hidden="1">'Phase 1'!$A$4:$C$18</definedName>
    <definedName name="_xlnm.Print_Titles" localSheetId="8">'Phase 1'!$1:$4</definedName>
    <definedName name="_xlnm._FilterDatabase" localSheetId="9" hidden="1">'Ownership'!$A$4:$B$15</definedName>
    <definedName name="_xlnm.Print_Titles" localSheetId="9">'Ownership'!$1:$4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color rgb="00475569"/>
      <sz val="10"/>
    </font>
    <font>
      <b val="1"/>
      <color rgb="00FFFFFF"/>
    </font>
    <font>
      <color rgb="002563EB"/>
    </font>
  </fonts>
  <fills count="5">
    <fill>
      <patternFill/>
    </fill>
    <fill>
      <patternFill patternType="gray125"/>
    </fill>
    <fill>
      <patternFill patternType="solid">
        <fgColor rgb="00173D4A"/>
      </patternFill>
    </fill>
    <fill>
      <patternFill patternType="solid">
        <fgColor rgb="00087F8C"/>
      </patternFill>
    </fill>
    <fill>
      <patternFill patternType="solid">
        <fgColor rgb="00F1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  <xf numFmtId="9" fontId="4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tequipment.net/Hioki/IM3536/LCR-Meter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5" customWidth="1" min="2" max="2"/>
  </cols>
  <sheetData>
    <row r="1" ht="30" customHeight="1">
      <c r="A1" s="1" t="inlineStr">
        <is>
          <t>Budget levels — 17 October 2026</t>
        </is>
      </c>
    </row>
    <row r="2" ht="55" customHeight="1">
      <c r="A2" s="2" t="inlineStr">
        <is>
          <t>USD planning model; no hardware owned. Equipment estimates, professional time and human validation are separate. No purchase, flash, clinical approval or human-use authorization.</t>
        </is>
      </c>
    </row>
    <row r="4" ht="32" customHeight="1">
      <c r="A4" s="3" t="inlineStr">
        <is>
          <t>Decision</t>
        </is>
      </c>
      <c r="B4" s="3" t="inlineStr">
        <is>
          <t>Recommended interpretation</t>
        </is>
      </c>
    </row>
    <row r="5" ht="52" customHeight="1">
      <c r="A5" s="4" t="inlineStr">
        <is>
          <t>First bench</t>
        </is>
      </c>
      <c r="B5" s="4" t="inlineStr">
        <is>
          <t>A3: $12k–$25k equipment/setup; illustrative cart $17,203.20 including hardware reserve.</t>
        </is>
      </c>
    </row>
    <row r="6" ht="52" customHeight="1">
      <c r="A6" s="5" t="inlineStr">
        <is>
          <t>Professionally run first phase</t>
        </is>
      </c>
      <c r="B6" s="5" t="inlineStr">
        <is>
          <t>Illustrative $77,920 before tax/freight, using one program reserve rather than double-counting the separate hardware reserve.</t>
        </is>
      </c>
    </row>
    <row r="7" ht="52" customHeight="1">
      <c r="A7" s="4" t="inlineStr">
        <is>
          <t>Human-connected engineering</t>
        </is>
      </c>
      <c r="B7" s="4" t="inlineStr">
        <is>
          <t>Choose ONE cumulative B tier. B includes an approximately $20k baseline bench allowance; do not add the entire bench budget again.</t>
        </is>
      </c>
    </row>
    <row r="8" ht="52" customHeight="1">
      <c r="A8" s="5" t="inlineStr">
        <is>
          <t>Physiological validation</t>
        </is>
      </c>
      <c r="B8" s="5" t="inlineStr">
        <is>
          <t>Choose ONE overall C program tier. Participant counts are planning scenarios, not powered designs. Custom device engineering is separate.</t>
        </is>
      </c>
    </row>
    <row r="9" ht="52" customHeight="1">
      <c r="A9" s="4" t="inlineStr">
        <is>
          <t>Cash vs time</t>
        </is>
      </c>
      <c r="B9" s="4" t="inlineStr">
        <is>
          <t>Bench initial cash excludes labor. Unpaid owner hours have economic cost. The Labor and TCO sheet exposes professional-time assumptions.</t>
        </is>
      </c>
    </row>
    <row r="10" ht="52" customHeight="1">
      <c r="A10" s="5" t="inlineStr">
        <is>
          <t>Recurring costs</t>
        </is>
      </c>
      <c r="B10" s="5" t="inlineStr">
        <is>
          <t>Bench annual allowances cover cash upkeep/access after year one, not recurring professional staff. Five-year cash = setup + four upkeep years.</t>
        </is>
      </c>
    </row>
    <row r="11" ht="52" customHeight="1">
      <c r="A11" s="4" t="inlineStr">
        <is>
          <t>Price confidence</t>
        </is>
      </c>
      <c r="B11" s="4" t="inlineStr">
        <is>
          <t>Only named price anchors are observed listings. All wider budgets and rates are original planning assumptions, not supplier quotes.</t>
        </is>
      </c>
    </row>
    <row r="12" ht="52" customHeight="1">
      <c r="A12" s="5" t="inlineStr">
        <is>
          <t>Source of truth</t>
        </is>
      </c>
      <c r="B12" s="5" t="inlineStr">
        <is>
          <t>Read the companion report for scope, exclusions, sources and safety gates. Current software remains nominal 50 kHz only.</t>
        </is>
      </c>
    </row>
    <row r="13" ht="52" customHeight="1">
      <c r="A13" s="4" t="inlineStr">
        <is>
          <t>Safety</t>
        </is>
      </c>
      <c r="B13" s="4" t="inlineStr">
        <is>
          <t>Track A is passive-only. Neither an evaluation board nor the link-check ELF is cleared for human connection or flashing.</t>
        </is>
      </c>
    </row>
    <row r="14" ht="52" customHeight="1">
      <c r="A14" s="5" t="inlineStr">
        <is>
          <t>Edit inputs</t>
        </is>
      </c>
      <c r="B14" s="5" t="inlineStr">
        <is>
          <t>Blue entries are editable assumptions. Excel/compatible software recalculates formulas on opening; initial formula caches are provided.</t>
        </is>
      </c>
    </row>
  </sheetData>
  <autoFilter ref="A4:B14"/>
  <mergeCells count="2">
    <mergeCell ref="A2:B2"/>
    <mergeCell ref="A1:B1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2" customWidth="1" min="2" max="2"/>
    <col width="100" customWidth="1" min="3" max="3"/>
  </cols>
  <sheetData>
    <row r="1" ht="30" customHeight="1">
      <c r="A1" s="1" t="inlineStr">
        <is>
          <t>Editable planning assumptions</t>
        </is>
      </c>
    </row>
    <row r="2" ht="55" customHeight="1">
      <c r="A2" s="2" t="inlineStr">
        <is>
          <t>These are original scenario inputs, NOT wage surveys, facility quotes, powered study designs or guaranteed project costs.</t>
        </is>
      </c>
    </row>
    <row r="4" ht="32" customHeight="1">
      <c r="A4" s="3" t="inlineStr">
        <is>
          <t>Input</t>
        </is>
      </c>
      <c r="B4" s="3" t="inlineStr">
        <is>
          <t>Value</t>
        </is>
      </c>
      <c r="C4" s="3" t="inlineStr">
        <is>
          <t>Unit / purpose</t>
        </is>
      </c>
    </row>
    <row r="5" ht="39" customHeight="1">
      <c r="A5" s="4" t="inlineStr">
        <is>
          <t>Professional rate — low</t>
        </is>
      </c>
      <c r="B5" s="6" t="n">
        <v>150</v>
      </c>
      <c r="C5" s="4" t="inlineStr">
        <is>
          <t>USD/hour</t>
        </is>
      </c>
    </row>
    <row r="6" ht="39" customHeight="1">
      <c r="A6" s="5" t="inlineStr">
        <is>
          <t>Professional rate — high</t>
        </is>
      </c>
      <c r="B6" s="7" t="n">
        <v>250</v>
      </c>
      <c r="C6" s="5" t="inlineStr">
        <is>
          <t>USD/hour</t>
        </is>
      </c>
    </row>
    <row r="7" ht="39" customHeight="1">
      <c r="A7" s="4" t="inlineStr">
        <is>
          <t>Phase-1 rate</t>
        </is>
      </c>
      <c r="B7" s="6" t="n">
        <v>200</v>
      </c>
      <c r="C7" s="4" t="inlineStr">
        <is>
          <t>USD/hour</t>
        </is>
      </c>
    </row>
    <row r="8" ht="39" customHeight="1">
      <c r="A8" s="5" t="inlineStr">
        <is>
          <t>Hardware reserve</t>
        </is>
      </c>
      <c r="B8" s="8" t="n">
        <v>0.2</v>
      </c>
      <c r="C8" s="5" t="inlineStr">
        <is>
          <t>fraction; cart only</t>
        </is>
      </c>
    </row>
    <row r="9" ht="39" customHeight="1">
      <c r="A9" s="4" t="inlineStr">
        <is>
          <t>Program reserve</t>
        </is>
      </c>
      <c r="B9" s="9" t="n">
        <v>0.25</v>
      </c>
      <c r="C9" s="4" t="inlineStr">
        <is>
          <t>fraction; phase-1 or study scenario</t>
        </is>
      </c>
    </row>
    <row r="10" ht="39" customHeight="1">
      <c r="A10" s="5" t="inlineStr">
        <is>
          <t>Participants in study example</t>
        </is>
      </c>
      <c r="B10" s="7" t="n">
        <v>300</v>
      </c>
      <c r="C10" s="5" t="inlineStr">
        <is>
          <t>illustrative; not powered</t>
        </is>
      </c>
    </row>
    <row r="11" ht="39" customHeight="1">
      <c r="A11" s="4" t="inlineStr">
        <is>
          <t>Visits per participant</t>
        </is>
      </c>
      <c r="B11" s="6" t="n">
        <v>2</v>
      </c>
      <c r="C11" s="4" t="inlineStr">
        <is>
          <t>illustrative</t>
        </is>
      </c>
    </row>
    <row r="12" ht="39" customHeight="1">
      <c r="A12" s="5" t="inlineStr">
        <is>
          <t>Cost per visit</t>
        </is>
      </c>
      <c r="B12" s="7" t="n">
        <v>800</v>
      </c>
      <c r="C12" s="5" t="inlineStr">
        <is>
          <t>USD; fully burdened assumption, define inclusions</t>
        </is>
      </c>
    </row>
    <row r="13" ht="39" customHeight="1">
      <c r="A13" s="4" t="inlineStr">
        <is>
          <t>Study overhead</t>
        </is>
      </c>
      <c r="B13" s="6" t="n">
        <v>200000</v>
      </c>
      <c r="C13" s="4" t="inlineStr">
        <is>
          <t>USD beyond fully burdened visits; avoid duplicated costs</t>
        </is>
      </c>
    </row>
    <row r="14" ht="39" customHeight="1">
      <c r="A14" s="5" t="inlineStr">
        <is>
          <t>Loaded FTE cost</t>
        </is>
      </c>
      <c r="B14" s="7" t="n">
        <v>240000</v>
      </c>
      <c r="C14" s="5" t="inlineStr">
        <is>
          <t>USD/person-year assumption</t>
        </is>
      </c>
    </row>
    <row r="15" ht="39" customHeight="1">
      <c r="A15" s="4" t="inlineStr">
        <is>
          <t>FTE example headcount</t>
        </is>
      </c>
      <c r="B15" s="6" t="n">
        <v>4</v>
      </c>
      <c r="C15" s="4" t="inlineStr">
        <is>
          <t>people</t>
        </is>
      </c>
    </row>
    <row r="16" ht="39" customHeight="1">
      <c r="A16" s="5" t="inlineStr">
        <is>
          <t>FTE example years</t>
        </is>
      </c>
      <c r="B16" s="7" t="n">
        <v>1</v>
      </c>
      <c r="C16" s="5" t="inlineStr">
        <is>
          <t>years</t>
        </is>
      </c>
    </row>
    <row r="17" ht="39" customHeight="1">
      <c r="A17" s="4" t="inlineStr">
        <is>
          <t>TCO years</t>
        </is>
      </c>
      <c r="B17" s="6" t="n">
        <v>5</v>
      </c>
      <c r="C17" s="4" t="inlineStr">
        <is>
          <t>initial setup includes initial-year services</t>
        </is>
      </c>
    </row>
    <row r="18" ht="39" customHeight="1">
      <c r="A18" s="5" t="inlineStr">
        <is>
          <t>Phase-1 professional hours</t>
        </is>
      </c>
      <c r="B18" s="7" t="n">
        <v>200</v>
      </c>
      <c r="C18" s="5" t="inlineStr">
        <is>
          <t>one-time person-hours</t>
        </is>
      </c>
    </row>
    <row r="19" ht="39" customHeight="1">
      <c r="A19" s="4" t="inlineStr">
        <is>
          <t>Independent DUT verification</t>
        </is>
      </c>
      <c r="B19" s="6" t="n">
        <v>8000</v>
      </c>
      <c r="C19" s="4" t="inlineStr">
        <is>
          <t>USD; distinct from initial standard/instrument calibration</t>
        </is>
      </c>
    </row>
  </sheetData>
  <autoFilter ref="A4:C19"/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18" customWidth="1" min="5" max="5"/>
    <col width="90" customWidth="1" min="6" max="6"/>
  </cols>
  <sheetData>
    <row r="1" ht="30" customHeight="1">
      <c r="A1" s="1" t="inlineStr">
        <is>
          <t>Track A — alternative passive-only setups</t>
        </is>
      </c>
    </row>
    <row r="2" ht="55" customHeight="1">
      <c r="A2" s="2" t="inlineStr">
        <is>
          <t>Initial cash includes equipment/fixtures and specified initial services, excludes labor/tax/freight. Annual upkeep is modeled for years AFTER the initial year. Do not sum tiers.</t>
        </is>
      </c>
    </row>
    <row r="4" ht="32" customHeight="1">
      <c r="A4" s="3" t="inlineStr">
        <is>
          <t>Tier</t>
        </is>
      </c>
      <c r="B4" s="3" t="inlineStr">
        <is>
          <t>Setup low</t>
        </is>
      </c>
      <c r="C4" s="3" t="inlineStr">
        <is>
          <t>Setup high</t>
        </is>
      </c>
      <c r="D4" s="3" t="inlineStr">
        <is>
          <t>Annual low</t>
        </is>
      </c>
      <c r="E4" s="3" t="inlineStr">
        <is>
          <t>Annual high</t>
        </is>
      </c>
      <c r="F4" s="3" t="inlineStr">
        <is>
          <t>Scope</t>
        </is>
      </c>
    </row>
    <row r="5" ht="52" customHeight="1">
      <c r="A5" s="4" t="inlineStr">
        <is>
          <t>A1 Learning</t>
        </is>
      </c>
      <c r="B5" s="10" t="n">
        <v>1000</v>
      </c>
      <c r="C5" s="10" t="n">
        <v>3000</v>
      </c>
      <c r="D5" s="10" t="n">
        <v>200</v>
      </c>
      <c r="E5" s="10" t="n">
        <v>800</v>
      </c>
      <c r="F5" s="4" t="inlineStr">
        <is>
          <t>Bring-up, logging and simple passive checks; not traceable phase accuracy.</t>
        </is>
      </c>
    </row>
    <row r="6" ht="52" customHeight="1">
      <c r="A6" s="5" t="inlineStr">
        <is>
          <t>A2 Shared reference</t>
        </is>
      </c>
      <c r="B6" s="11" t="n">
        <v>3000</v>
      </c>
      <c r="C6" s="11" t="n">
        <v>8000</v>
      </c>
      <c r="D6" s="11" t="n">
        <v>1000</v>
      </c>
      <c r="E6" s="11" t="n">
        <v>4000</v>
      </c>
      <c r="F6" s="5" t="inlineStr">
        <is>
          <t>Defined lab/rental/service campaign; rates and proper fixture require quotes.</t>
        </is>
      </c>
    </row>
    <row r="7" ht="52" customHeight="1">
      <c r="A7" s="4" t="inlineStr">
        <is>
          <t>A3 Owned reference</t>
        </is>
      </c>
      <c r="B7" s="10" t="n">
        <v>12000</v>
      </c>
      <c r="C7" s="10" t="n">
        <v>25000</v>
      </c>
      <c r="D7" s="10" t="n">
        <v>1500</v>
      </c>
      <c r="E7" s="10" t="n">
        <v>4500</v>
      </c>
      <c r="F7" s="4" t="inlineStr">
        <is>
          <t>Appropriate LCR, correct fixture, calibration/standards, scope, DMM and DUT.</t>
        </is>
      </c>
    </row>
    <row r="8" ht="52" customHeight="1">
      <c r="A8" s="5" t="inlineStr">
        <is>
          <t>A4 Premium characterization</t>
        </is>
      </c>
      <c r="B8" s="11" t="n">
        <v>35000</v>
      </c>
      <c r="C8" s="11" t="n">
        <v>100000</v>
      </c>
      <c r="D8" s="11" t="n">
        <v>3000</v>
      </c>
      <c r="E8" s="11" t="n">
        <v>10000</v>
      </c>
      <c r="F8" s="5" t="inlineStr">
        <is>
          <t>Advanced analyzer/workflow, programmable passive fixtures and temperature work.</t>
        </is>
      </c>
    </row>
    <row r="9" ht="52" customHeight="1">
      <c r="A9" s="4" t="inlineStr">
        <is>
          <t>A5 Automated lab</t>
        </is>
      </c>
      <c r="B9" s="10" t="n">
        <v>100000</v>
      </c>
      <c r="C9" s="10" t="n">
        <v>300000</v>
      </c>
      <c r="D9" s="10" t="n">
        <v>8000</v>
      </c>
      <c r="E9" s="10" t="n">
        <v>30000</v>
      </c>
      <c r="F9" s="4" t="inlineStr">
        <is>
          <t>Automated regression/environment/unit-to-unit verification; upper bounds can be exceeded.</t>
        </is>
      </c>
    </row>
  </sheetData>
  <autoFilter ref="A4:F9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21" customWidth="1" min="4" max="4"/>
    <col width="21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0" customHeight="1">
      <c r="A1" s="1" t="inlineStr">
        <is>
          <t>Bench labor and five-year cash scenarios</t>
        </is>
      </c>
    </row>
    <row r="2" ht="55" customHeight="1">
      <c r="A2" s="2" t="inlineStr">
        <is>
          <t>Professional work is one-time setup/characterization effort. Five-year cash excludes labor; professional staff for ongoing operations are NOT included. Tiers are alternatives.</t>
        </is>
      </c>
    </row>
    <row r="4" ht="32" customHeight="1">
      <c r="A4" s="3" t="inlineStr">
        <is>
          <t>Tier</t>
        </is>
      </c>
      <c r="B4" s="3" t="inlineStr">
        <is>
          <t>Hours low</t>
        </is>
      </c>
      <c r="C4" s="3" t="inlineStr">
        <is>
          <t>Hours high</t>
        </is>
      </c>
      <c r="D4" s="3" t="inlineStr">
        <is>
          <t>Labor low</t>
        </is>
      </c>
      <c r="E4" s="3" t="inlineStr">
        <is>
          <t>Labor high</t>
        </is>
      </c>
      <c r="F4" s="3" t="inlineStr">
        <is>
          <t>Initial + labor low</t>
        </is>
      </c>
      <c r="G4" s="3" t="inlineStr">
        <is>
          <t>Initial + labor high</t>
        </is>
      </c>
      <c r="H4" s="3" t="inlineStr">
        <is>
          <t>Five-year cash low</t>
        </is>
      </c>
      <c r="I4" s="3" t="inlineStr">
        <is>
          <t>Five-year cash high</t>
        </is>
      </c>
    </row>
    <row r="5" ht="52" customHeight="1">
      <c r="A5" s="4" t="inlineStr">
        <is>
          <t>A1 Learning</t>
        </is>
      </c>
      <c r="B5" s="6" t="n">
        <v>40</v>
      </c>
      <c r="C5" s="6" t="n">
        <v>120</v>
      </c>
      <c r="D5" s="12">
        <f>B5*Assumptions!$B$5</f>
        <v>6000</v>
      </c>
      <c r="E5" s="12">
        <f>C5*Assumptions!$B$6</f>
        <v>30000</v>
      </c>
      <c r="F5" s="12">
        <f>Bench!B5+D5</f>
        <v>7000</v>
      </c>
      <c r="G5" s="12">
        <f>Bench!C5+E5</f>
        <v>33000</v>
      </c>
      <c r="H5" s="12">
        <f>Bench!B5+(Assumptions!$B$17-1)*Bench!D5</f>
        <v>1800</v>
      </c>
      <c r="I5" s="12">
        <f>Bench!C5+(Assumptions!$B$17-1)*Bench!E5</f>
        <v>6200</v>
      </c>
    </row>
    <row r="6" ht="52" customHeight="1">
      <c r="A6" s="5" t="inlineStr">
        <is>
          <t>A2 Shared reference</t>
        </is>
      </c>
      <c r="B6" s="7" t="n">
        <v>80</v>
      </c>
      <c r="C6" s="7" t="n">
        <v>200</v>
      </c>
      <c r="D6" s="13">
        <f>B6*Assumptions!$B$5</f>
        <v>12000</v>
      </c>
      <c r="E6" s="13">
        <f>C6*Assumptions!$B$6</f>
        <v>50000</v>
      </c>
      <c r="F6" s="13">
        <f>Bench!B6+D6</f>
        <v>15000</v>
      </c>
      <c r="G6" s="13">
        <f>Bench!C6+E6</f>
        <v>58000</v>
      </c>
      <c r="H6" s="13">
        <f>Bench!B6+(Assumptions!$B$17-1)*Bench!D6</f>
        <v>7000</v>
      </c>
      <c r="I6" s="13">
        <f>Bench!C6+(Assumptions!$B$17-1)*Bench!E6</f>
        <v>24000</v>
      </c>
    </row>
    <row r="7" ht="52" customHeight="1">
      <c r="A7" s="4" t="inlineStr">
        <is>
          <t>A3 Owned reference</t>
        </is>
      </c>
      <c r="B7" s="6" t="n">
        <v>150</v>
      </c>
      <c r="C7" s="6" t="n">
        <v>400</v>
      </c>
      <c r="D7" s="12">
        <f>B7*Assumptions!$B$5</f>
        <v>22500</v>
      </c>
      <c r="E7" s="12">
        <f>C7*Assumptions!$B$6</f>
        <v>100000</v>
      </c>
      <c r="F7" s="12">
        <f>Bench!B7+D7</f>
        <v>34500</v>
      </c>
      <c r="G7" s="12">
        <f>Bench!C7+E7</f>
        <v>125000</v>
      </c>
      <c r="H7" s="12">
        <f>Bench!B7+(Assumptions!$B$17-1)*Bench!D7</f>
        <v>18000</v>
      </c>
      <c r="I7" s="12">
        <f>Bench!C7+(Assumptions!$B$17-1)*Bench!E7</f>
        <v>43000</v>
      </c>
    </row>
    <row r="8" ht="52" customHeight="1">
      <c r="A8" s="5" t="inlineStr">
        <is>
          <t>A4 Premium characterization</t>
        </is>
      </c>
      <c r="B8" s="7" t="n">
        <v>400</v>
      </c>
      <c r="C8" s="7" t="n">
        <v>1000</v>
      </c>
      <c r="D8" s="13">
        <f>B8*Assumptions!$B$5</f>
        <v>60000</v>
      </c>
      <c r="E8" s="13">
        <f>C8*Assumptions!$B$6</f>
        <v>250000</v>
      </c>
      <c r="F8" s="13">
        <f>Bench!B8+D8</f>
        <v>95000</v>
      </c>
      <c r="G8" s="13">
        <f>Bench!C8+E8</f>
        <v>350000</v>
      </c>
      <c r="H8" s="13">
        <f>Bench!B8+(Assumptions!$B$17-1)*Bench!D8</f>
        <v>47000</v>
      </c>
      <c r="I8" s="13">
        <f>Bench!C8+(Assumptions!$B$17-1)*Bench!E8</f>
        <v>140000</v>
      </c>
    </row>
    <row r="9" ht="52" customHeight="1">
      <c r="A9" s="4" t="inlineStr">
        <is>
          <t>A5 Automated lab</t>
        </is>
      </c>
      <c r="B9" s="6" t="n">
        <v>1500</v>
      </c>
      <c r="C9" s="6" t="n">
        <v>4000</v>
      </c>
      <c r="D9" s="12">
        <f>B9*Assumptions!$B$5</f>
        <v>225000</v>
      </c>
      <c r="E9" s="12">
        <f>C9*Assumptions!$B$6</f>
        <v>1000000</v>
      </c>
      <c r="F9" s="12">
        <f>Bench!B9+D9</f>
        <v>325000</v>
      </c>
      <c r="G9" s="12">
        <f>Bench!C9+E9</f>
        <v>1300000</v>
      </c>
      <c r="H9" s="12">
        <f>Bench!B9+(Assumptions!$B$17-1)*Bench!D9</f>
        <v>132000</v>
      </c>
      <c r="I9" s="12">
        <f>Bench!C9+(Assumptions!$B$17-1)*Bench!E9</f>
        <v>420000</v>
      </c>
    </row>
  </sheetData>
  <autoFilter ref="A4:I9"/>
  <mergeCells count="2">
    <mergeCell ref="A1:I1"/>
    <mergeCell ref="A2:I2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5" customWidth="1" min="4" max="4"/>
    <col width="100" customWidth="1" min="5" max="5"/>
  </cols>
  <sheetData>
    <row r="1" ht="30" customHeight="1">
      <c r="A1" s="1" t="inlineStr">
        <is>
          <t>Track B — cumulative custom-device engineering</t>
        </is>
      </c>
    </row>
    <row r="2" ht="55" customHeight="1">
      <c r="A2" s="2" t="inlineStr">
        <is>
          <t>Includes an approximately $20k baseline bench allowance and engineering/compliance. Excludes large human studies, mass-production inventory and ongoing commercial operations. Choose ONE tier; do not sum.</t>
        </is>
      </c>
    </row>
    <row r="4" ht="32" customHeight="1">
      <c r="A4" s="3" t="inlineStr">
        <is>
          <t>Tier</t>
        </is>
      </c>
      <c r="B4" s="3" t="inlineStr">
        <is>
          <t>Budget low</t>
        </is>
      </c>
      <c r="C4" s="3" t="inlineStr">
        <is>
          <t>Budget high</t>
        </is>
      </c>
      <c r="D4" s="3" t="inlineStr">
        <is>
          <t>Window</t>
        </is>
      </c>
      <c r="E4" s="3" t="inlineStr">
        <is>
          <t>Milestone / limits</t>
        </is>
      </c>
    </row>
    <row r="5" ht="52" customHeight="1">
      <c r="A5" s="4" t="inlineStr">
        <is>
          <t>B1 Passive custom instrument</t>
        </is>
      </c>
      <c r="B5" s="10" t="n">
        <v>100000</v>
      </c>
      <c r="C5" s="10" t="n">
        <v>300000</v>
      </c>
      <c r="D5" s="4" t="inlineStr">
        <is>
          <t>3–6 months</t>
        </is>
      </c>
      <c r="E5" s="4" t="inlineStr">
        <is>
          <t>Custom electronics, raw export, PCB iterations and passive verification; no human connection.</t>
        </is>
      </c>
    </row>
    <row r="6" ht="52" customHeight="1">
      <c r="A6" s="5" t="inlineStr">
        <is>
          <t>B2 Reviewed research instrument</t>
        </is>
      </c>
      <c r="B6" s="11" t="n">
        <v>300000</v>
      </c>
      <c r="C6" s="11" t="n">
        <v>1000000</v>
      </c>
      <c r="D6" s="5" t="inlineStr">
        <is>
          <t>6–12 months</t>
        </is>
      </c>
      <c r="E6" s="5" t="inlineStr">
        <is>
          <t>Complete safety architecture, specialist testing/documentation; human work requires appropriate approvals.</t>
        </is>
      </c>
    </row>
    <row r="7" ht="52" customHeight="1">
      <c r="A7" s="4" t="inlineStr">
        <is>
          <t>B3 Segmental multifrequency platform</t>
        </is>
      </c>
      <c r="B7" s="10" t="n">
        <v>750000</v>
      </c>
      <c r="C7" s="10" t="n">
        <v>2500000</v>
      </c>
      <c r="D7" s="4" t="inlineStr">
        <is>
          <t>12–24 months</t>
        </is>
      </c>
      <c r="E7" s="4" t="inlineStr">
        <is>
          <t>Characterized switching, contact QC, timing, mechanical/electrode/scale integration; not a validation result.</t>
        </is>
      </c>
    </row>
    <row r="8" ht="52" customHeight="1">
      <c r="A8" s="5" t="inlineStr">
        <is>
          <t>B4 Productized composition platform</t>
        </is>
      </c>
      <c r="B8" s="11" t="n">
        <v>2000000</v>
      </c>
      <c r="C8" s="11" t="n">
        <v>8000000</v>
      </c>
      <c r="D8" s="5" t="inlineStr">
        <is>
          <t>18–36+ months</t>
        </is>
      </c>
      <c r="E8" s="5" t="inlineStr">
        <is>
          <t>Manufacturing, quality, software lifecycle, usability/cybersecurity, regulatory program for chosen claims; can exceed range.</t>
        </is>
      </c>
    </row>
  </sheetData>
  <autoFilter ref="A4:E8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1" customWidth="1" min="4" max="4"/>
    <col width="21" customWidth="1" min="5" max="5"/>
    <col width="100" customWidth="1" min="6" max="6"/>
  </cols>
  <sheetData>
    <row r="1" ht="30" customHeight="1">
      <c r="A1" s="1" t="inlineStr">
        <is>
          <t>Track C — physiological evidence programs</t>
        </is>
      </c>
    </row>
    <row r="2" ht="55" customHeight="1">
      <c r="A2" s="2" t="inlineStr">
        <is>
          <t>Budgets through the stated milestone, including appropriate pilot/prep. Excludes custom device engineering and imaging-facility purchase. Counts are illustrative, not powered sample-size recommendations.</t>
        </is>
      </c>
    </row>
    <row r="4" ht="32" customHeight="1">
      <c r="A4" s="3" t="inlineStr">
        <is>
          <t>Tier</t>
        </is>
      </c>
      <c r="B4" s="3" t="inlineStr">
        <is>
          <t>Budget low</t>
        </is>
      </c>
      <c r="C4" s="3" t="inlineStr">
        <is>
          <t>Budget high</t>
        </is>
      </c>
      <c r="D4" s="3" t="inlineStr">
        <is>
          <t>Participants low</t>
        </is>
      </c>
      <c r="E4" s="3" t="inlineStr">
        <is>
          <t>Participants high</t>
        </is>
      </c>
      <c r="F4" s="3" t="inlineStr">
        <is>
          <t>Scope</t>
        </is>
      </c>
    </row>
    <row r="5" ht="52" customHeight="1">
      <c r="A5" s="4" t="inlineStr">
        <is>
          <t>C1 Repeatability/feasibility</t>
        </is>
      </c>
      <c r="B5" s="10" t="n">
        <v>50000</v>
      </c>
      <c r="C5" s="10" t="n">
        <v>200000</v>
      </c>
      <c r="D5" s="4" t="n">
        <v>20</v>
      </c>
      <c r="E5" s="4" t="n">
        <v>50</v>
      </c>
      <c r="F5" s="4" t="inlineStr">
        <is>
          <t>Repeated visits/comparators after approvals. Workflow and preliminary evidence, not universal accuracy.</t>
        </is>
      </c>
    </row>
    <row r="6" ht="52" customHeight="1">
      <c r="A6" s="5" t="inlineStr">
        <is>
          <t>C2 Focused composition study</t>
        </is>
      </c>
      <c r="B6" s="11" t="n">
        <v>500000</v>
      </c>
      <c r="C6" s="11" t="n">
        <v>2000000</v>
      </c>
      <c r="D6" s="5" t="n">
        <v>300</v>
      </c>
      <c r="E6" s="5" t="n">
        <v>600</v>
      </c>
      <c r="F6" s="5" t="inlineStr">
        <is>
          <t>DXA/reference work, participant-level model holdout, specific population and claims.</t>
        </is>
      </c>
    </row>
    <row r="7" ht="52" customHeight="1">
      <c r="A7" s="4" t="inlineStr">
        <is>
          <t>C3 Broader/multi-site validation</t>
        </is>
      </c>
      <c r="B7" s="10" t="n">
        <v>2000000</v>
      </c>
      <c r="C7" s="10" t="n">
        <v>8000000</v>
      </c>
      <c r="D7" s="4" t="n">
        <v>1000</v>
      </c>
      <c r="E7" s="4" t="n">
        <v>3000</v>
      </c>
      <c r="F7" s="4" t="inlineStr">
        <is>
          <t>Independent/subgroup/longitudinal evidence and selected MRI/4-compartment/fluid references; may exceed range.</t>
        </is>
      </c>
    </row>
  </sheetData>
  <autoFilter ref="A4:F7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  <col width="24" customWidth="1" min="4" max="4"/>
    <col width="24" customWidth="1" min="5" max="5"/>
    <col width="95" customWidth="1" min="6" max="6"/>
  </cols>
  <sheetData>
    <row r="1" ht="30" customHeight="1">
      <c r="A1" s="1" t="inlineStr">
        <is>
          <t>Combined program envelopes — not quotes</t>
        </is>
      </c>
    </row>
    <row r="2" ht="55" customHeight="1">
      <c r="A2" s="2" t="inlineStr">
        <is>
          <t>Engineering B includes baseline bench allowance. Validation C excludes engineering. These rows are alternative scenarios; do NOT sum them, or add every earlier tier. Broader multi-modality scope can exceed all of these.</t>
        </is>
      </c>
    </row>
    <row r="4" ht="32" customHeight="1">
      <c r="A4" s="3" t="inlineStr">
        <is>
          <t>Scenario</t>
        </is>
      </c>
      <c r="B4" s="3" t="inlineStr">
        <is>
          <t>Engineering choice</t>
        </is>
      </c>
      <c r="C4" s="3" t="inlineStr">
        <is>
          <t>Validation choice</t>
        </is>
      </c>
      <c r="D4" s="3" t="inlineStr">
        <is>
          <t>Combined low</t>
        </is>
      </c>
      <c r="E4" s="3" t="inlineStr">
        <is>
          <t>Combined high</t>
        </is>
      </c>
      <c r="F4" s="3" t="inlineStr">
        <is>
          <t>Interpretation</t>
        </is>
      </c>
    </row>
    <row r="5" ht="52" customHeight="1">
      <c r="A5" s="4" t="inlineStr">
        <is>
          <t>Research feasibility</t>
        </is>
      </c>
      <c r="B5" s="4" t="inlineStr">
        <is>
          <t>B2 Reviewed research instrument</t>
        </is>
      </c>
      <c r="C5" s="4" t="inlineStr">
        <is>
          <t>C1 Repeatability/feasibility</t>
        </is>
      </c>
      <c r="D5" s="12">
        <f>Engineering!B6+Validation!B5</f>
        <v>350000</v>
      </c>
      <c r="E5" s="12">
        <f>Engineering!C6+Validation!C5</f>
        <v>1200000</v>
      </c>
      <c r="F5" s="4" t="inlineStr">
        <is>
          <t>No claim of certification, success, clearance or applicability to a person; major scope changes need re-estimation.</t>
        </is>
      </c>
    </row>
    <row r="6" ht="52" customHeight="1">
      <c r="A6" s="5" t="inlineStr">
        <is>
          <t>Focused research platform</t>
        </is>
      </c>
      <c r="B6" s="5" t="inlineStr">
        <is>
          <t>B3 Segmental multifrequency platform</t>
        </is>
      </c>
      <c r="C6" s="5" t="inlineStr">
        <is>
          <t>C2 Focused composition study</t>
        </is>
      </c>
      <c r="D6" s="13">
        <f>Engineering!B7+Validation!B6</f>
        <v>1250000</v>
      </c>
      <c r="E6" s="13">
        <f>Engineering!C7+Validation!C6</f>
        <v>4500000</v>
      </c>
      <c r="F6" s="5" t="inlineStr">
        <is>
          <t>No claim of certification, success, clearance or applicability to a person; major scope changes need re-estimation.</t>
        </is>
      </c>
    </row>
    <row r="7" ht="52" customHeight="1">
      <c r="A7" s="4" t="inlineStr">
        <is>
          <t>Product + broader validation</t>
        </is>
      </c>
      <c r="B7" s="4" t="inlineStr">
        <is>
          <t>B4 Productized composition platform</t>
        </is>
      </c>
      <c r="C7" s="4" t="inlineStr">
        <is>
          <t>C3 Broader/multi-site validation</t>
        </is>
      </c>
      <c r="D7" s="12">
        <f>Engineering!B8+Validation!B7</f>
        <v>4000000</v>
      </c>
      <c r="E7" s="12">
        <f>Engineering!C8+Validation!C7</f>
        <v>16000000</v>
      </c>
      <c r="F7" s="4" t="inlineStr">
        <is>
          <t>No claim of certification, success, clearance or applicability to a person; major scope changes need re-estimation.</t>
        </is>
      </c>
    </row>
  </sheetData>
  <autoFilter ref="A4:F7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8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22" customWidth="1" min="3" max="3"/>
    <col width="22" customWidth="1" min="4" max="4"/>
    <col width="100" customWidth="1" min="5" max="5"/>
  </cols>
  <sheetData>
    <row r="1" ht="30" customHeight="1">
      <c r="A1" s="1" t="inlineStr">
        <is>
          <t>Illustrative A3 equipment/setup cart</t>
        </is>
      </c>
    </row>
    <row r="2" ht="55" customHeight="1">
      <c r="A2" s="2" t="inlineStr">
        <is>
          <t>Only the $5,186 LCR line is a retrieved current listed-price anchor. Other entries are allowances; quotes, exact packing list, proper probe/fixture and uncertainty scope are required. Tax, freight, new computer and labor excluded.</t>
        </is>
      </c>
    </row>
    <row r="4" ht="32" customHeight="1">
      <c r="A4" s="3" t="inlineStr">
        <is>
          <t>Item</t>
        </is>
      </c>
      <c r="B4" s="3" t="inlineStr">
        <is>
          <t>Quantity</t>
        </is>
      </c>
      <c r="C4" s="3" t="inlineStr">
        <is>
          <t>Unit allowance</t>
        </is>
      </c>
      <c r="D4" s="3" t="inlineStr">
        <is>
          <t>Extended</t>
        </is>
      </c>
      <c r="E4" s="3" t="inlineStr">
        <is>
          <t>Basis / qualification</t>
        </is>
      </c>
    </row>
    <row r="5" ht="39" customHeight="1">
      <c r="A5" s="4" t="inlineStr">
        <is>
          <t>Kit / optional spare allowance</t>
        </is>
      </c>
      <c r="B5" s="4" t="n">
        <v>1</v>
      </c>
      <c r="C5" s="14" t="n">
        <v>1100</v>
      </c>
      <c r="D5" s="15">
        <f>B5*C5</f>
        <v>1100</v>
      </c>
      <c r="E5" s="4" t="inlineStr">
        <is>
          <t>Planning allowance, not a requirement to buy two kits. Confirm controller/Z-Test/cable contents.</t>
        </is>
      </c>
    </row>
    <row r="6" ht="39" customHeight="1">
      <c r="A6" s="5" t="inlineStr">
        <is>
          <t>Hioki IM3536</t>
        </is>
      </c>
      <c r="B6" s="5" t="n">
        <v>1</v>
      </c>
      <c r="C6" s="16" t="n">
        <v>5186</v>
      </c>
      <c r="D6" s="17">
        <f>B6*C6</f>
        <v>5186</v>
      </c>
      <c r="E6" s="5" t="inlineStr">
        <is>
          <t>Detailed TEquipment listing; probe/fixture separate; stock expected Oct 21, not verified on hand.</t>
        </is>
      </c>
    </row>
    <row r="7" ht="39" customHeight="1">
      <c r="A7" s="4" t="inlineStr">
        <is>
          <t>Correct probe/interface/fixture</t>
        </is>
      </c>
      <c r="B7" s="4" t="n">
        <v>1</v>
      </c>
      <c r="C7" s="14" t="n">
        <v>1000</v>
      </c>
      <c r="D7" s="15">
        <f>B7*C7</f>
        <v>1000</v>
      </c>
      <c r="E7" s="4" t="inlineStr">
        <is>
          <t>Planning allowance; match the reference plane and passive DUT, not an arbitrary SMD accessory.</t>
        </is>
      </c>
    </row>
    <row r="8" ht="39" customHeight="1">
      <c r="A8" s="5" t="inlineStr">
        <is>
          <t>Standards and initial AC calibration</t>
        </is>
      </c>
      <c r="B8" s="5" t="n">
        <v>1</v>
      </c>
      <c r="C8" s="16" t="n">
        <v>2000</v>
      </c>
      <c r="D8" s="17">
        <f>B8*C8</f>
        <v>2000</v>
      </c>
      <c r="E8" s="5" t="inlineStr">
        <is>
          <t>Planning allowance; frequency/phase/uncertainty scope must be applicable.</t>
        </is>
      </c>
    </row>
    <row r="9" ht="39" customHeight="1">
      <c r="A9" s="4" t="inlineStr">
        <is>
          <t>DMM</t>
        </is>
      </c>
      <c r="B9" s="4" t="n">
        <v>1</v>
      </c>
      <c r="C9" s="14" t="n">
        <v>750</v>
      </c>
      <c r="D9" s="15">
        <f>B9*C9</f>
        <v>750</v>
      </c>
      <c r="E9" s="4" t="inlineStr">
        <is>
          <t>Planning allowance; not an AC phase reference.</t>
        </is>
      </c>
    </row>
    <row r="10" ht="39" customHeight="1">
      <c r="A10" s="5" t="inlineStr">
        <is>
          <t>Oscilloscope</t>
        </is>
      </c>
      <c r="B10" s="5" t="n">
        <v>1</v>
      </c>
      <c r="C10" s="16" t="n">
        <v>1800</v>
      </c>
      <c r="D10" s="17">
        <f>B10*C10</f>
        <v>1800</v>
      </c>
      <c r="E10" s="5" t="inlineStr">
        <is>
          <t>Planning allowance; debug and timing, not a substitute for LCR reference.</t>
        </is>
      </c>
    </row>
    <row r="11" ht="39" customHeight="1">
      <c r="A11" s="4" t="inlineStr">
        <is>
          <t>Bench supply</t>
        </is>
      </c>
      <c r="B11" s="4" t="n">
        <v>1</v>
      </c>
      <c r="C11" s="14" t="n">
        <v>500</v>
      </c>
      <c r="D11" s="15">
        <f>B11*C11</f>
        <v>500</v>
      </c>
      <c r="E11" s="4" t="inlineStr">
        <is>
          <t>Planning allowance; passive bench only.</t>
        </is>
      </c>
    </row>
    <row r="12" ht="39" customHeight="1">
      <c r="A12" s="5" t="inlineStr">
        <is>
          <t>Additional passive fixture work</t>
        </is>
      </c>
      <c r="B12" s="5" t="n">
        <v>1</v>
      </c>
      <c r="C12" s="16" t="n">
        <v>1500</v>
      </c>
      <c r="D12" s="17">
        <f>B12*C12</f>
        <v>1500</v>
      </c>
      <c r="E12" s="5" t="inlineStr">
        <is>
          <t>Planning allowance distinct from the basic probe interface.</t>
        </is>
      </c>
    </row>
    <row r="13" ht="39" customHeight="1">
      <c r="A13" s="4" t="inlineStr">
        <is>
          <t>ESD/cables/local logging</t>
        </is>
      </c>
      <c r="B13" s="4" t="n">
        <v>1</v>
      </c>
      <c r="C13" s="14" t="n">
        <v>500</v>
      </c>
      <c r="D13" s="15">
        <f>B13*C13</f>
        <v>500</v>
      </c>
      <c r="E13" s="4" t="inlineStr">
        <is>
          <t>Planning allowance; manufacturer-approved connection route only.</t>
        </is>
      </c>
    </row>
    <row r="14" ht="39" customHeight="1">
      <c r="A14" s="5" t="inlineStr">
        <is>
          <t>Subtotal</t>
        </is>
      </c>
      <c r="B14" s="5" t="n"/>
      <c r="C14" s="5" t="n"/>
      <c r="D14" s="17">
        <f>SUM(D5:D13)</f>
        <v>14336</v>
      </c>
      <c r="E14" s="5" t="n"/>
    </row>
    <row r="15" ht="39" customHeight="1">
      <c r="A15" s="4" t="inlineStr">
        <is>
          <t>Hardware reserve</t>
        </is>
      </c>
      <c r="B15" s="4" t="n"/>
      <c r="C15" s="4" t="n"/>
      <c r="D15" s="15">
        <f>D14*Assumptions!$B$8</f>
        <v>2867.2</v>
      </c>
      <c r="E15" s="4" t="n"/>
    </row>
    <row r="16" ht="39" customHeight="1">
      <c r="A16" s="5" t="inlineStr">
        <is>
          <t>Equipment allocation</t>
        </is>
      </c>
      <c r="B16" s="5" t="n"/>
      <c r="C16" s="5" t="n"/>
      <c r="D16" s="17">
        <f>D14+D15</f>
        <v>17203.2</v>
      </c>
      <c r="E16" s="5" t="n"/>
    </row>
  </sheetData>
  <autoFilter ref="A4:E16"/>
  <mergeCells count="2">
    <mergeCell ref="A2:E2"/>
    <mergeCell ref="A1:E1"/>
  </mergeCells>
  <hyperlinks>
    <hyperlink ref="E6" ns1:id="rId1"/>
  </hyperlink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27" customWidth="1" min="2" max="2"/>
    <col width="105" customWidth="1" min="3" max="3"/>
  </cols>
  <sheetData>
    <row r="1" ht="30" customHeight="1">
      <c r="A1" s="1" t="inlineStr">
        <is>
          <t>Professionally run first-phase example</t>
        </is>
      </c>
    </row>
    <row r="2" ht="55" customHeight="1">
      <c r="A2" s="2" t="inlineStr">
        <is>
          <t>Uses cart SUBTOTAL without its separate reserve, then applies ONE program reserve. Engineering and independent verification are modeled allowances; no quotation or purchase authorization.</t>
        </is>
      </c>
    </row>
    <row r="4" ht="32" customHeight="1">
      <c r="A4" s="3" t="inlineStr">
        <is>
          <t>Component</t>
        </is>
      </c>
      <c r="B4" s="3" t="inlineStr">
        <is>
          <t>Amount</t>
        </is>
      </c>
      <c r="C4" s="3" t="inlineStr">
        <is>
          <t>Meaning</t>
        </is>
      </c>
    </row>
    <row r="5" ht="39" customHeight="1">
      <c r="A5" s="4" t="inlineStr">
        <is>
          <t>Equipment/setup before reserve</t>
        </is>
      </c>
      <c r="B5" s="15">
        <f>'A3 cart'!D14</f>
        <v>14336</v>
      </c>
      <c r="C5" s="4" t="inlineStr">
        <is>
          <t>Does not also include the cart’s 20% reserve.</t>
        </is>
      </c>
    </row>
    <row r="6" ht="39" customHeight="1">
      <c r="A6" s="5" t="inlineStr">
        <is>
          <t>Professional work</t>
        </is>
      </c>
      <c r="B6" s="17">
        <f>Assumptions!$B$18*Assumptions!$B$7</f>
        <v>40000</v>
      </c>
      <c r="C6" s="5" t="n"/>
    </row>
    <row r="7" ht="39" customHeight="1">
      <c r="A7" s="4" t="inlineStr">
        <is>
          <t>Independent DUT/fixture verification</t>
        </is>
      </c>
      <c r="B7" s="15">
        <f>Assumptions!$B$19</f>
        <v>8000</v>
      </c>
      <c r="C7" s="4" t="inlineStr">
        <is>
          <t>Different scope from initial reference/standards calibration; obtain an actual service proposal.</t>
        </is>
      </c>
    </row>
    <row r="8" ht="39" customHeight="1">
      <c r="A8" s="5" t="inlineStr">
        <is>
          <t>Subtotal</t>
        </is>
      </c>
      <c r="B8" s="17">
        <f>SUM(B5:B7)</f>
        <v>62336</v>
      </c>
      <c r="C8" s="5" t="n"/>
    </row>
    <row r="9" ht="39" customHeight="1">
      <c r="A9" s="4" t="inlineStr">
        <is>
          <t>Program reserve</t>
        </is>
      </c>
      <c r="B9" s="15">
        <f>B8*Assumptions!$B$9</f>
        <v>15584</v>
      </c>
      <c r="C9" s="4" t="n"/>
    </row>
    <row r="10" ht="39" customHeight="1">
      <c r="A10" s="5" t="inlineStr">
        <is>
          <t>Total</t>
        </is>
      </c>
      <c r="B10" s="17">
        <f>B8+B9</f>
        <v>77920</v>
      </c>
      <c r="C10" s="5" t="n"/>
    </row>
    <row r="11" ht="39" customHeight="1">
      <c r="A11" s="4" t="n"/>
      <c r="B11" s="4" t="n"/>
      <c r="C11" s="4" t="n"/>
    </row>
    <row r="12" ht="39" customHeight="1">
      <c r="A12" s="5" t="inlineStr">
        <is>
          <t>Study example — not a protocol</t>
        </is>
      </c>
      <c r="B12" s="5" t="n"/>
      <c r="C12" s="5" t="n"/>
    </row>
    <row r="13" ht="39" customHeight="1">
      <c r="A13" s="4" t="inlineStr">
        <is>
          <t>Fully burdened visit costs</t>
        </is>
      </c>
      <c r="B13" s="15">
        <f>Assumptions!$B$10*Assumptions!$B$11*Assumptions!$B$12</f>
        <v>480000</v>
      </c>
      <c r="C13" s="4" t="n"/>
    </row>
    <row r="14" ht="39" customHeight="1">
      <c r="A14" s="5" t="inlineStr">
        <is>
          <t>Additional study overhead</t>
        </is>
      </c>
      <c r="B14" s="17">
        <f>Assumptions!$B$13</f>
        <v>200000</v>
      </c>
      <c r="C14" s="5" t="n"/>
    </row>
    <row r="15" ht="39" customHeight="1">
      <c r="A15" s="4" t="inlineStr">
        <is>
          <t>Study example including reserve</t>
        </is>
      </c>
      <c r="B15" s="15">
        <f>(B13+B14)*(1+Assumptions!$B$9)</f>
        <v>850000</v>
      </c>
      <c r="C15" s="4" t="n"/>
    </row>
    <row r="16" ht="39" customHeight="1">
      <c r="A16" s="5" t="n"/>
      <c r="B16" s="5" t="n"/>
      <c r="C16" s="5" t="n"/>
    </row>
    <row r="17" ht="39" customHeight="1">
      <c r="A17" s="4" t="inlineStr">
        <is>
          <t>FTE example — not added to consultant hours</t>
        </is>
      </c>
      <c r="B17" s="4" t="n"/>
      <c r="C17" s="4" t="n"/>
    </row>
    <row r="18" ht="39" customHeight="1">
      <c r="A18" s="5" t="inlineStr">
        <is>
          <t>Modeled team cost</t>
        </is>
      </c>
      <c r="B18" s="17">
        <f>Assumptions!$B$14*Assumptions!$B$15*Assumptions!$B$16</f>
        <v>960000</v>
      </c>
      <c r="C18" s="5" t="n"/>
    </row>
  </sheetData>
  <autoFilter ref="A4:C18"/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5" customWidth="1" min="2" max="2"/>
  </cols>
  <sheetData>
    <row r="1" ht="30" customHeight="1">
      <c r="A1" s="1" t="inlineStr">
        <is>
          <t>Ownership, subscriptions and evidence gates</t>
        </is>
      </c>
    </row>
    <row r="2" ht="55" customHeight="1">
      <c r="A2" s="2" t="inlineStr">
        <is>
          <t>Price observations are not contracts. Recurring calibration/consumables can remain real costs in an entirely offline system. No legacy Withings account entitlements assumed.</t>
        </is>
      </c>
    </row>
    <row r="4" ht="32" customHeight="1">
      <c r="A4" s="3" t="inlineStr">
        <is>
          <t>Check</t>
        </is>
      </c>
      <c r="B4" s="3" t="inlineStr">
        <is>
          <t>Required answer / evidence</t>
        </is>
      </c>
    </row>
    <row r="5" ht="52" customHeight="1">
      <c r="A5" s="4" t="inlineStr">
        <is>
          <t>Offline operation</t>
        </is>
      </c>
      <c r="B5" s="4" t="inlineStr">
        <is>
          <t>Acquisition/local viewing after cancellation; installer/firmware access; required accounts and network documented.</t>
        </is>
      </c>
    </row>
    <row r="6" ht="52" customHeight="1">
      <c r="A6" s="5" t="inlineStr">
        <is>
          <t>Raw data</t>
        </is>
      </c>
      <c r="B6" s="5" t="inlineStr">
        <is>
          <t>Sample per-path/per-frequency R/X/IQ export plus quality flags/config/calibration. CSV or a USB port alone is insufficient.</t>
        </is>
      </c>
    </row>
    <row r="7" ht="52" customHeight="1">
      <c r="A7" s="4" t="inlineStr">
        <is>
          <t>License scope</t>
        </is>
      </c>
      <c r="B7" s="4" t="inlineStr">
        <is>
          <t>Perpetual vs annual/per-seat/per-test; API/export rights; used-unit transfer; cancellation behavior.</t>
        </is>
      </c>
    </row>
    <row r="8" ht="52" customHeight="1">
      <c r="A8" s="5" t="inlineStr">
        <is>
          <t>Recurring costs</t>
        </is>
      </c>
      <c r="B8" s="5" t="inlineStr">
        <is>
          <t>Separate compulsory acquisition access from optional support, calibration, electrodes and financial leases.</t>
        </is>
      </c>
    </row>
    <row r="9" ht="52" customHeight="1">
      <c r="A9" s="4" t="inlineStr">
        <is>
          <t>Hioki price anchor</t>
        </is>
      </c>
      <c r="B9" s="4" t="inlineStr">
        <is>
          <t>IM3536 $5,186 detailed TEquipment page; separate fixture/probe; expected Oct 21 stock, quote needed.</t>
        </is>
      </c>
    </row>
    <row r="10" ht="52" customHeight="1">
      <c r="A10" s="5" t="inlineStr">
        <is>
          <t>AD5940 kit anchor</t>
        </is>
      </c>
      <c r="B10" s="5" t="inlineStr">
        <is>
          <t>Mouser detailed page: $497.15; possible 8% US tariff; distributor end-of-stock warning. Packing list must be confirmed.</t>
        </is>
      </c>
    </row>
    <row r="11" ht="52" customHeight="1">
      <c r="A11" s="4" t="inlineStr">
        <is>
          <t>Keysight current family</t>
        </is>
      </c>
      <c r="B11" s="4" t="inlineStr">
        <is>
          <t>E4980BL US page: $7,391 / $10,839 / $14,264 for 300k/500k/1MHz configurations; options/fixture/quote required. E4980AL discontinued/currently supported.</t>
        </is>
      </c>
    </row>
    <row r="12" ht="52" customHeight="1">
      <c r="A12" s="5" t="inlineStr">
        <is>
          <t>MFIA anchor</t>
        </is>
      </c>
      <c r="B12" s="5" t="inlineStr">
        <is>
          <t>Manufacturer displays $14,490 region-specific/ex-works. 500kHz base vs 5MHz upgrade/configuration must be quoted; not an all-options 5MHz price.</t>
        </is>
      </c>
    </row>
    <row r="13" ht="52" customHeight="1">
      <c r="A13" s="4" t="inlineStr">
        <is>
          <t>Rental caution</t>
        </is>
      </c>
      <c r="B13" s="4" t="inlineStr">
        <is>
          <t>$649/month IM3536 appears in search only; detailed rental fetch did not substantiate rate. Do not book or budget it as confirmed.</t>
        </is>
      </c>
    </row>
    <row r="14" ht="52" customHeight="1">
      <c r="A14" s="5" t="inlineStr">
        <is>
          <t>Safety boundary</t>
        </is>
      </c>
      <c r="B14" s="5" t="inlineStr">
        <is>
          <t>Evaluation board passive-only. Custom patient-connected work needs complete-system safety review and required approvals. Battery/USB isolation alone is not qualification.</t>
        </is>
      </c>
    </row>
    <row r="15" ht="52" customHeight="1">
      <c r="A15" s="4" t="inlineStr">
        <is>
          <t>Validation boundary</t>
        </is>
      </c>
      <c r="B15" s="4" t="inlineStr">
        <is>
          <t>Models, appropriate comparators, independent participants/sites and honest errors are required; maximum frequency or displayed metric count does not establish validity.</t>
        </is>
      </c>
    </row>
  </sheetData>
  <autoFilter ref="A4:B15"/>
  <mergeCells count="2">
    <mergeCell ref="A2:B2"/>
    <mergeCell ref="A1:B1"/>
  </mergeCells>
  <pageMargins left="0.75" right="0.75" top="1" bottom="1" header="0.5" footer="0.5"/>
  <pageSetup orientation="landscape" paperSize="8" fitToHeight="0" fitToWidth="1"/>
  <headerFooter>
    <oddHeader/>
    <oddFooter>&amp;CPlanning estimates • 17 October 2026 • No human-use authorization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2026-10-17T22:06:52Z</dcterms:created>
  <dcterms:modified xmlns:dcterms="http://purl.org/dc/terms/" xmlns:xsi="http://www.w3.org/2001/XMLSchema-instance" xsi:type="dcterms:W3CDTF">2026-10-17T22:06:52Z</dcterms:modified>
</cp:coreProperties>
</file>